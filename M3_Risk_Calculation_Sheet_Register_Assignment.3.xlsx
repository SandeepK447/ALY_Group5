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https://d.docs.live.net/83ec1af42cbecbc7/Desktop/"/>
    </mc:Choice>
  </mc:AlternateContent>
  <xr:revisionPtr revIDLastSave="0" documentId="8_{02CB62DD-8418-4835-A3D5-3B08E9133083}" xr6:coauthVersionLast="47" xr6:coauthVersionMax="47" xr10:uidLastSave="{00000000-0000-0000-0000-000000000000}"/>
  <bookViews>
    <workbookView xWindow="-108" yWindow="-108" windowWidth="23256" windowHeight="13896" activeTab="2" xr2:uid="{00000000-000D-0000-FFFF-FFFF00000000}"/>
  </bookViews>
  <sheets>
    <sheet name="RiskCalculationSheet" sheetId="1" r:id="rId1"/>
    <sheet name="RiskRegister" sheetId="2" r:id="rId2"/>
    <sheet name="HeatMap"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1" i="2" l="1"/>
  <c r="I10" i="2"/>
  <c r="I9" i="2"/>
  <c r="I8" i="2"/>
  <c r="I7" i="2"/>
  <c r="I6" i="2"/>
  <c r="I5" i="2"/>
  <c r="I4" i="2"/>
  <c r="G13" i="1"/>
  <c r="G12" i="1"/>
  <c r="G11" i="1"/>
  <c r="G10" i="1"/>
  <c r="G9" i="1"/>
  <c r="G8" i="1"/>
  <c r="G7" i="1"/>
  <c r="G6" i="1"/>
</calcChain>
</file>

<file path=xl/sharedStrings.xml><?xml version="1.0" encoding="utf-8"?>
<sst xmlns="http://schemas.openxmlformats.org/spreadsheetml/2006/main" count="264" uniqueCount="172">
  <si>
    <t>Risk Calculation Sheet - Apple Inc Acquiring Netflix - ALY 6130</t>
  </si>
  <si>
    <t>Group Members: Samuel Tweneboah-Kodua Nyamekye | Adebukola Fadina | Sandeep Kaur</t>
  </si>
  <si>
    <t>Likelihood: 1=Very Unlikely, 3=Unlikely, 5=Could go either way, 7=More likely than not, 9=Almost certain    |    Impact: 1=Very Low, 2=Low, 4=Moderate, 6=Somewhat High, 8=High, 9=Extremely High</t>
  </si>
  <si>
    <t>LOW = Score 1-20</t>
  </si>
  <si>
    <t>MEDIUM = Score 21-54</t>
  </si>
  <si>
    <t>HIGH = Score 55-81</t>
  </si>
  <si>
    <t>Risk #</t>
  </si>
  <si>
    <t>Contributor</t>
  </si>
  <si>
    <t>Risk Name</t>
  </si>
  <si>
    <t>Type</t>
  </si>
  <si>
    <t>Likelihood</t>
  </si>
  <si>
    <t>Impact</t>
  </si>
  <si>
    <t>Risk Score (LxI)</t>
  </si>
  <si>
    <t>Priority</t>
  </si>
  <si>
    <t>Why Likelihood?</t>
  </si>
  <si>
    <t>Why Impact?</t>
  </si>
  <si>
    <t>Citation (APA)</t>
  </si>
  <si>
    <t>R-001</t>
  </si>
  <si>
    <t>Samuel Tweneboah-Kodua</t>
  </si>
  <si>
    <t>Government Blocking the Deal</t>
  </si>
  <si>
    <t>Negative</t>
  </si>
  <si>
    <t>H</t>
  </si>
  <si>
    <t>This is more likely than not. Apple is already being looked at by the U.S. government for how it runs the App Store. Netflix holds about a quarter of all paid streaming subscribers in the U.S. If Apple ends up owning both of those things, regulators may decide that is just too much power sitting in one place. Europe has also put new rules in place aimed at stopping large tech companies from buying their way into more power.</t>
  </si>
  <si>
    <t>If the government blocks this deal the damage would be very serious. Apple would lose the money it already spent, owe Netflix somewhere between 2 and 5 billion dollars as a cancellation payment, and could still end up with government restrictions on how it runs the App Store for years after.</t>
  </si>
  <si>
    <t>Haslam, K. (2024, March 5). Apple faces EU antitrust charges over App Store rules. Macworld. https://www.macworld.com</t>
  </si>
  <si>
    <t>R-002</t>
  </si>
  <si>
    <t>Adebukola Fadina</t>
  </si>
  <si>
    <t>Studios Pulling Their Content Off Netflix</t>
  </si>
  <si>
    <t>This is more likely than not. Each of these studios runs its own paid streaming service and already sees Netflix as a competitor. When Netflix was on its own studios were willing to license their content because it brought in extra money. But once Apple is in the picture these studios would likely worry that helping the new company only makes things harder for their own services. Most content agreements also include a clause that gives studios the right to walk away if the company they signed with gets sold to someone else.</t>
  </si>
  <si>
    <t>If Netflix loses 30 to 40 percent of its library in a short time a lot of subscribers would cancel. Getting that content back by making original shows takes years and costs several billion dollars. On top of the money the bad press from all of this would make people question whether the Apple purchase was a good idea.</t>
  </si>
  <si>
    <t>Otterson, J. (2024, January 12). Studios weigh content deal risks as streaming M&amp;A speculation grows. Variety. https://variety.com</t>
  </si>
  <si>
    <t>R-003</t>
  </si>
  <si>
    <t>Sandeep Kaur</t>
  </si>
  <si>
    <t>Growing Much Faster Together</t>
  </si>
  <si>
    <t>Positive</t>
  </si>
  <si>
    <t>This is more likely than not. Apple sells the phone, runs the software on it, and handles the payment. Netflix has the subscribers and the content. No other streaming company sits in that position. Apple has already shown with Apple Music and Apple TV+ that it can get people who own its devices to pay for its services. Adding Netflix to that same account is not a big ask for those customers.</t>
  </si>
  <si>
    <t>The size of the potential gain here is very large. Even if only a small percentage of Apple's 2.2 billion device users add Netflix that still adds up to millions of new subscribers and billions of dollars in extra revenue each year. People who sign up for both are also less likely to cancel later.</t>
  </si>
  <si>
    <t>Mukherjee, S. (2026, April 20). Netflix global expansion still wide open: More upside ahead? Yahoo Finance. https://finance.yahoo.com</t>
  </si>
  <si>
    <t>R-004</t>
  </si>
  <si>
    <t>Netflix Getting Sued Over User Data</t>
  </si>
  <si>
    <t>This is more likely than not. In May 2026 the Texas Attorney General took Netflix to court for collecting personal data without asking users first and then sharing it with data brokers. Children's accounts were also put at risk. Apple spends a lot of time telling customers it protects their privacy so taking on Netflix's data problems would go directly against that.</t>
  </si>
  <si>
    <t>Apple's whole reputation around privacy is one of its biggest selling points. If people find out that Netflix now owned by Apple was sharing their data without asking and putting children's accounts at risk it would badly damage that reputation. Legal fines from the Netflix lawsuit could also run into hundreds of millions of dollars.</t>
  </si>
  <si>
    <t>GuruFocus. (2026, May 11). Netflix (NFLX) faces lawsuit over user data privacy violations. GuruFocus. https://www.gurufocus.com/news/8848999</t>
  </si>
  <si>
    <t>R-005</t>
  </si>
  <si>
    <t>Losing Good People During the Merger</t>
  </si>
  <si>
    <t>M</t>
  </si>
  <si>
    <t>This is more likely than not. Apple lost more than 20,000 staff in 2025. In just one week in December it lost its AI chief, its top lawyer, and a key design executive all at the same time. Apple sees about 58 percent of its staff leave every year and the average person only stays 1.7 years. A big merger on top of that would put even more pressure on people to leave.</t>
  </si>
  <si>
    <t>Losing key engineers and leaders right in the middle of a major merger would slow everything down. Projects would get delayed and hiring replacements during a merger always costs more than normal. This would make the whole integration harder than it needs to be.</t>
  </si>
  <si>
    <t>Dediu, H. (2026, March 19). Apple lost more than 20,000 talented staff in 2025. Asymco. https://asymco.com/2026/03/19/apple-lost-more-than-20000-talented-staff-in-2025/</t>
  </si>
  <si>
    <t>R-006</t>
  </si>
  <si>
    <t>Moving Netflix Off Amazon's Servers</t>
  </si>
  <si>
    <t>This could go either way. Netflix moved everything onto Amazon Web Services after its own servers crashed completely in 2008. That crash stopped all operations for multiple days. Over the past 15 years Netflix built all of its tools specifically for Amazon's systems. Amazon is also a direct Apple competitor which makes staying on AWS awkward.</t>
  </si>
  <si>
    <t>Moving Netflix off Amazon without the service going down for subscribers would be one of the hardest technical jobs Apple has ever taken on. Even a few hours of Netflix being down for over 300 million users around the world would be a very big and very public problem.</t>
  </si>
  <si>
    <t>Kovvuru, I. (2025, November 11). How Netflix designed its global cloud architecture on AWS. Medium. https://medium.com</t>
  </si>
  <si>
    <t>R-007</t>
  </si>
  <si>
    <t>Big Growth Opportunity in Other Countries</t>
  </si>
  <si>
    <t>This is more likely than not. Netflix already runs in over 190 countries. In just the first quarter of 2026 its revenue from Asia and the Pacific grew 20 percent compared to the year before and came in at 1.51 billion dollars. Netflix management says there is a 670 billion dollar opportunity still out there because less than 45 percent of homes with internet subscribe to Netflix yet.</t>
  </si>
  <si>
    <t>With Apple's devices already popular in many of these markets and Netflix's local content teams already on the ground the two companies together could grow much faster than either could on their own. The advertising side is also expected to reach 3 billion dollars in 2026.</t>
  </si>
  <si>
    <t>Mukherjee, S. (2026, April 20). Netflix global expansion still wide open. Yahoo Finance. https://finance.yahoo.com</t>
  </si>
  <si>
    <t>R-008</t>
  </si>
  <si>
    <t>People Cancelling Over Rising Prices</t>
  </si>
  <si>
    <t>This is more likely than not. Streaming costs went up 19.5 percent in 2025 which was much faster than regular inflation at 2.7 percent. Netflix, Disney Plus, and Apple TV Plus all raised their prices. People are getting fed up with paying more and more each year. Companies are also cracking down on password sharing and adding ads.</t>
  </si>
  <si>
    <t>If Apple raises the price of the combined bundle after the deal and competitors like Amazon or Disney offer cheaper options at the same time a lot of people would cancel. Every one percent increase in cancellations on 300 million subscribers means losing millions of dollars every single month.</t>
  </si>
  <si>
    <t>Verge Staff. (2026, May 19). Streaming keeps getting more expensive: All the latest price hikes. The Verge. https://www.theverge.com/23901586/streaming-service-prices-netflix-disney-hulu-peacock</t>
  </si>
  <si>
    <t>Risk Register - Apple Inc Acquiring Netflix - ALY 6130</t>
  </si>
  <si>
    <t>Date</t>
  </si>
  <si>
    <t>The Risk of/That</t>
  </si>
  <si>
    <t>Caused by</t>
  </si>
  <si>
    <t>Resulting In</t>
  </si>
  <si>
    <t>Consequence/Impact</t>
  </si>
  <si>
    <t>Likelihood Score</t>
  </si>
  <si>
    <t>Impact Score</t>
  </si>
  <si>
    <t>Risk Score</t>
  </si>
  <si>
    <t>Mitigation</t>
  </si>
  <si>
    <t>Risk Owner</t>
  </si>
  <si>
    <t>Open/Closed</t>
  </si>
  <si>
    <t>06/09/2026</t>
  </si>
  <si>
    <t>The risk that the U.S. and European governments try to block or slow down the Apple and Netflix deal because they believe it gives one company too much control over how people access apps and streaming content.</t>
  </si>
  <si>
    <t>Apple already takes a 30 percent cut from app purchases made through its App Store. Netflix holds about a quarter of all paid streaming subscribers in the U.S. If one company ends up owning both of those things regulators may decide that is just too much power sitting in one place.</t>
  </si>
  <si>
    <t>The deal could be stopped before it even closes or Apple might have to sell off parts of the business just to get approval from regulators. The government review alone could take more than a year which pushes back everything else.</t>
  </si>
  <si>
    <t>Financial: Court and lawyer fees could easily pass 500 million dollars. If the deal falls through Apple may owe Netflix a cancellation payment of 2 to 5 billion dollars.
Legal: Apple might have to sign a long-term agreement that limits how it runs the App Store for years.</t>
  </si>
  <si>
    <t>Apple should reach out to regulators before the deal is made public. Getting that conversation started early gives Apple a better shot at avoiding a long drawn-out review. Apple could also offer to treat Netflix the same as every other streaming app in the App Store.</t>
  </si>
  <si>
    <t>Open</t>
  </si>
  <si>
    <t>The risk that big studios like Disney, Warner Bros., and Paramount remove their shows and movies from Netflix shortly after the Apple deal is announced because they do not want to hand content to a company that is now much bigger and more powerful.</t>
  </si>
  <si>
    <t>Each of these studios runs its own paid streaming service and already sees Netflix as a competitor. Most content agreements also include a clause that gives studios the right to walk away if the company they signed with gets sold to someone else.</t>
  </si>
  <si>
    <t>Netflix could end up losing a large part of its library within months of the deal being announced. Once subscribers notice that shows and movies they liked are no longer there many will cancel.</t>
  </si>
  <si>
    <t>Financial: Replacing the content that studios take back could cost between 3 and 6 billion dollars over two years.
Reputational: If the press starts reporting that Netflix has less to watch after Apple bought it that kind of story is hard to recover from.</t>
  </si>
  <si>
    <t>Before the deal is announced Apple and Netflix should quietly work on renewing content agreements with the major studios. Giving studios a written guarantee that their content will not be locked only to Apple-Netflix would help ease their concerns.</t>
  </si>
  <si>
    <t>The positive risk that joining Apple and Netflix together could help the new company grow much faster than either one ever could on its own because Apple already has over 2.2 billion active device users and Netflix already has over 300 million paying subscribers.</t>
  </si>
  <si>
    <t>Apple sells the phone, runs the software on it, and handles the payment. Netflix has the subscribers and the content. No other streaming company sits in that position.</t>
  </si>
  <si>
    <t>Apple and Netflix together could bring in new subscribers faster and at a much lower cost than either company could on its own. The new company would also be in a position to charge a bit more per subscriber.</t>
  </si>
  <si>
    <t>Financial (Positive): Streaming revenue could increase by 8 to 12 billion dollars per year within three years.
Long-term (Positive): People who subscribe to both are much less likely to cancel compared to those who signed up for Netflix on its own.</t>
  </si>
  <si>
    <t>Right after the deal closes Apple should add Netflix to its existing subscription bundle so that Apple customers can sign up for both without much hassle. This should happen within the first 90 days.</t>
  </si>
  <si>
    <t>The risk that Netflix getting sued over how it handles user data causes legal and reputation problems for Apple after the deal is done.</t>
  </si>
  <si>
    <t>In May 2026 the Texas Attorney General took Netflix to court for collecting personal data without asking users first and then sharing it with data brokers. Children's accounts were also put at risk.</t>
  </si>
  <si>
    <t>Apple could take on Netflix's active lawsuits as part of the deal. Combining Apple's hardware data with Netflix's viewing data would create one of the biggest collections of personal information in the whole technology industry.</t>
  </si>
  <si>
    <t>Financial: Privacy fines and legal settlements from the Netflix lawsuit could run into hundreds of millions of dollars.
Reputational: Any Netflix data scandal after the deal would damage Apple's privacy reputation directly.</t>
  </si>
  <si>
    <t>Before the deal closes Apple should go through all of Netflix's data collection practices. Netflix would need to stop sharing data with third-party brokers and make sure children's accounts have proper protections.</t>
  </si>
  <si>
    <t>The risk that Apple loses key engineers, creative leads, and managers during the stressful period of putting the two companies together.</t>
  </si>
  <si>
    <t>Apple lost more than 20,000 staff in 2025. In just one week it lost its AI chief, its top lawyer, and a key design executive. Apple sees about 58 percent of its staff leave every year and the average person only stays 1.7 years.</t>
  </si>
  <si>
    <t>The most important and experienced people would leave at exactly the moment the company needs them most. Teams working on the Netflix deal could end up short-staffed right in the middle of the most important work.</t>
  </si>
  <si>
    <t>Financial: Hiring replacement staff during a merger costs much more than normal.
Operational: Delays caused by losing experienced leaders would slow the whole integration down.</t>
  </si>
  <si>
    <t>Apple should offer bonus packages tied to staying for at least 24 months after the deal closes. Netflix should be allowed to run as its own unit under Apple for the first two years.</t>
  </si>
  <si>
    <t>The risk that moving Netflix away from Amazon's servers after the deal causes major technical problems and service outages.</t>
  </si>
  <si>
    <t>Netflix moved everything onto Amazon Web Services after its own servers crashed completely in 2008. That crash stopped all operations for multiple days. Over the past 15 years Netflix built all of its tools specifically for Amazon's systems.</t>
  </si>
  <si>
    <t>Moving Netflix off Amazon without the service going down for subscribers would be one of the hardest technical jobs Apple has ever taken on. Even a few hours of Netflix being down for 300 million users would be a very big public problem.</t>
  </si>
  <si>
    <t>Financial: The full move could cost hundreds of millions and take 3 to 5 years.
Technical: All the tools Netflix built for Amazon's systems would need to be rebuilt from scratch.</t>
  </si>
  <si>
    <t>Apple should keep paying for Amazon Web Services while slowly building its own alternative. The least risky parts should move first. The actual streaming delivery should only move last after everything else is tested.</t>
  </si>
  <si>
    <t>The positive risk that the combined Apple and Netflix company grows much faster in other countries than either one could on its own especially in Asia and Latin America.</t>
  </si>
  <si>
    <t>Netflix already runs in over 190 countries. In the first quarter of 2026 its revenue from Asia and the Pacific grew 20 percent to 1.51 billion dollars. Less than 45 percent of homes with internet subscribe to Netflix yet.</t>
  </si>
  <si>
    <t>With Apple's devices already popular in many of these markets and Netflix's local content teams on the ground the two companies together could grow much faster. The advertising side is expected to reach 3 billion dollars in 2026.</t>
  </si>
  <si>
    <t>Financial (Positive): Growth in Asia and Latin America could add billions in revenue within three years.
Strategic (Positive): Getting into these markets early would be hard for competitors to reverse.</t>
  </si>
  <si>
    <t>After the deal closes most of the growth money should go toward Asia and Latin America. Netflix already has local teams in these places so the cost of growing there is much lower than starting fresh.</t>
  </si>
  <si>
    <t>The risk that people start cancelling their subscriptions because the price of streaming keeps going up and they feel like they are paying too much.</t>
  </si>
  <si>
    <t>Streaming costs went up 19.5 percent in 2025 which was much faster than regular inflation at 2.7 percent. Netflix, Disney Plus, and Apple TV Plus all raised their prices. People are getting fed up paying more every year.</t>
  </si>
  <si>
    <t>If Apple raises the price of the combined bundle after the deal and competitors offer cheaper options a lot of people would cancel. Every one percent increase in cancellations on 300 million subscribers means losing millions of dollars every month.</t>
  </si>
  <si>
    <t>Financial: Any meaningful increase in cancellations on 300 million subscribers is a very large monthly revenue loss.
Competitive: Amazon and Disney would use any price increase as a chance to take subscribers away.</t>
  </si>
  <si>
    <t>Apple should position the combined bundle as something worth paying for not just a price increase. Any price increase should happen slowly and come with something new that customers can actually see and feel.</t>
  </si>
  <si>
    <t>Risk Heat Map - Apple Inc Acquiring Netflix - ALY 6130</t>
  </si>
  <si>
    <t>X axis = Likelihood Score | Y axis = Impact Score | Red = High Risk (55-81) | Yellow = Medium Risk (21-54) | Green = Low Risk (1-20)</t>
  </si>
  <si>
    <t>Note: These scores and thresholds are from the risk calculation sheet - not a generic 1 to 10 scale</t>
  </si>
  <si>
    <t>IMPACT ↓ / LIKELIHOOD →</t>
  </si>
  <si>
    <t>L = 1</t>
  </si>
  <si>
    <t>L = 3</t>
  </si>
  <si>
    <t>L = 5</t>
  </si>
  <si>
    <t>L = 7</t>
  </si>
  <si>
    <t>L = 9</t>
  </si>
  <si>
    <t>I = 9</t>
  </si>
  <si>
    <t>Score = 9</t>
  </si>
  <si>
    <t>Score = 27</t>
  </si>
  <si>
    <t>Score = 45</t>
  </si>
  <si>
    <t>R-001
Government Blocking Deal
Score = 63
HIGH RISK</t>
  </si>
  <si>
    <t>Score = 81</t>
  </si>
  <si>
    <t>I = 8</t>
  </si>
  <si>
    <t>Score = 8</t>
  </si>
  <si>
    <t>Score = 24</t>
  </si>
  <si>
    <t>R-006
Moving Off AWS
Score = 40
MEDIUM RISK</t>
  </si>
  <si>
    <t>R-002 Studios Pull Content Score=56
R-003 Growing Faster Together Score=56
R-004 Netflix Data Lawsuit Score=56
R-007 Global Growth Chance Score=56
ALL HIGH RISK</t>
  </si>
  <si>
    <t>Score = 72</t>
  </si>
  <si>
    <t>I = 6</t>
  </si>
  <si>
    <t>Score = 6</t>
  </si>
  <si>
    <t>Score = 18</t>
  </si>
  <si>
    <t>Score = 30</t>
  </si>
  <si>
    <t>R-005 Losing Key People Score=42
R-008 People Cancelling Score=42
MEDIUM RISK</t>
  </si>
  <si>
    <t>Score = 54</t>
  </si>
  <si>
    <t>I = 4</t>
  </si>
  <si>
    <t>Score = 4</t>
  </si>
  <si>
    <t>Score = 12</t>
  </si>
  <si>
    <t>Score = 20</t>
  </si>
  <si>
    <t>Score = 28</t>
  </si>
  <si>
    <t>Score = 36</t>
  </si>
  <si>
    <t>I = 2</t>
  </si>
  <si>
    <t>Score = 2</t>
  </si>
  <si>
    <t>Score = 10</t>
  </si>
  <si>
    <t>Score = 14</t>
  </si>
  <si>
    <t>I = 1</t>
  </si>
  <si>
    <t>Score = 1</t>
  </si>
  <si>
    <t>Score = 3</t>
  </si>
  <si>
    <t>Score = 5</t>
  </si>
  <si>
    <t>Score = 7</t>
  </si>
  <si>
    <t>HIGH (55-81)</t>
  </si>
  <si>
    <t>MEDIUM (21-54)</t>
  </si>
  <si>
    <t>LOW (1-20)</t>
  </si>
  <si>
    <t>Risk Score Summary</t>
  </si>
  <si>
    <t>Score</t>
  </si>
  <si>
    <t>Zone</t>
  </si>
  <si>
    <t>HIGH</t>
  </si>
  <si>
    <t>Studios Pulling Content Off Netflix</t>
  </si>
  <si>
    <t>Losing Good People During Merger</t>
  </si>
  <si>
    <t>MEDIUM</t>
  </si>
  <si>
    <t>Moving Netflix Off Amazon Servers</t>
  </si>
  <si>
    <t>Big Growth in Other Countries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</si>
</sst>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b/>
      <sz val="14"/>
      <color rgb="FFFFFFFF"/>
      <name val="Calibri"/>
      <family val="2"/>
    </font>
    <font>
      <sz val="11"/>
      <color rgb="FF000000"/>
      <name val="Calibri"/>
      <family val="2"/>
    </font>
    <font>
      <sz val="9"/>
      <color rgb="FF000000"/>
      <name val="Calibri"/>
      <family val="2"/>
    </font>
    <font>
      <b/>
      <sz val="10"/>
      <color rgb="FFFFFFFF"/>
      <name val="Calibri"/>
      <family val="2"/>
    </font>
    <font>
      <b/>
      <sz val="10"/>
      <color rgb="FF000000"/>
      <name val="Calibri"/>
      <family val="2"/>
    </font>
    <font>
      <sz val="10"/>
      <name val="Calibri"/>
      <family val="2"/>
    </font>
    <font>
      <sz val="10"/>
      <color rgb="FF000000"/>
      <name val="Calibri"/>
      <family val="2"/>
    </font>
    <font>
      <b/>
      <sz val="11"/>
      <color rgb="FFFFFFFF"/>
      <name val="Calibri"/>
      <family val="2"/>
    </font>
    <font>
      <sz val="9"/>
      <color rgb="FFFFFFFF"/>
      <name val="Calibri"/>
      <family val="2"/>
    </font>
    <font>
      <b/>
      <sz val="9"/>
      <color rgb="FFFFFFFF"/>
      <name val="Calibri"/>
      <family val="2"/>
    </font>
    <font>
      <b/>
      <sz val="9"/>
      <color rgb="FF000000"/>
      <name val="Calibri"/>
      <family val="2"/>
    </font>
    <font>
      <b/>
      <sz val="12"/>
      <color rgb="FFFFFFFF"/>
      <name val="Calibri"/>
      <family val="2"/>
    </font>
    <font>
      <sz val="11"/>
      <color theme="1"/>
      <name val="Calibri"/>
      <family val="2"/>
    </font>
    <font>
      <b/>
      <sz val="14"/>
      <color theme="1"/>
      <name val="Calibri"/>
      <family val="2"/>
    </font>
    <font>
      <sz val="9"/>
      <color theme="1"/>
      <name val="Calibri"/>
      <family val="2"/>
    </font>
    <font>
      <b/>
      <sz val="10"/>
      <color theme="1"/>
      <name val="Calibri"/>
      <family val="2"/>
    </font>
    <font>
      <sz val="10"/>
      <color theme="1"/>
      <name val="Calibri"/>
      <family val="2"/>
    </font>
  </fonts>
  <fills count="11">
    <fill>
      <patternFill patternType="none"/>
    </fill>
    <fill>
      <patternFill patternType="gray125"/>
    </fill>
    <fill>
      <patternFill patternType="solid">
        <fgColor rgb="FF1F3864"/>
      </patternFill>
    </fill>
    <fill>
      <patternFill patternType="solid">
        <fgColor rgb="FFEBF3FB"/>
      </patternFill>
    </fill>
    <fill>
      <patternFill patternType="solid">
        <fgColor rgb="FFFFFF00"/>
      </patternFill>
    </fill>
    <fill>
      <patternFill patternType="solid">
        <fgColor rgb="FF2F5496"/>
      </patternFill>
    </fill>
    <fill>
      <patternFill patternType="solid">
        <fgColor rgb="FFFFF2CC"/>
      </patternFill>
    </fill>
    <fill>
      <patternFill patternType="solid">
        <fgColor rgb="FFFF0000"/>
      </patternFill>
    </fill>
    <fill>
      <patternFill patternType="solid">
        <fgColor rgb="FFFFFFFF"/>
      </patternFill>
    </fill>
    <fill>
      <patternFill patternType="solid">
        <fgColor rgb="FF00B050"/>
      </patternFill>
    </fill>
    <fill>
      <patternFill patternType="solid">
        <fgColor theme="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7">
    <xf numFmtId="0" fontId="0" fillId="0" borderId="0" xfId="0"/>
    <xf numFmtId="0" fontId="4" fillId="7" borderId="1" xfId="0" applyFont="1" applyFill="1" applyBorder="1" applyAlignment="1">
      <alignment horizontal="center" vertical="center"/>
    </xf>
    <xf numFmtId="0" fontId="5" fillId="4" borderId="1" xfId="0" applyFont="1" applyFill="1" applyBorder="1" applyAlignment="1">
      <alignment horizontal="center" vertical="center"/>
    </xf>
    <xf numFmtId="0" fontId="4" fillId="2" borderId="1" xfId="0" applyFont="1" applyFill="1" applyBorder="1" applyAlignment="1">
      <alignment horizontal="center" vertical="center" wrapText="1"/>
    </xf>
    <xf numFmtId="0" fontId="8" fillId="5" borderId="1" xfId="0" applyFont="1" applyFill="1" applyBorder="1" applyAlignment="1">
      <alignment horizontal="center" vertical="center"/>
    </xf>
    <xf numFmtId="0" fontId="9" fillId="9" borderId="1" xfId="0" applyFont="1" applyFill="1" applyBorder="1" applyAlignment="1">
      <alignment horizontal="center" vertical="center" wrapText="1"/>
    </xf>
    <xf numFmtId="0" fontId="3" fillId="4" borderId="1" xfId="0" applyFont="1" applyFill="1" applyBorder="1" applyAlignment="1">
      <alignment horizontal="center" vertical="center" wrapText="1"/>
    </xf>
    <xf numFmtId="0" fontId="10" fillId="7" borderId="1" xfId="0" applyFont="1" applyFill="1" applyBorder="1" applyAlignment="1">
      <alignment horizontal="center" vertical="center" wrapText="1"/>
    </xf>
    <xf numFmtId="0" fontId="9" fillId="7" borderId="1" xfId="0" applyFont="1" applyFill="1" applyBorder="1" applyAlignment="1">
      <alignment horizontal="center" vertical="center" wrapText="1"/>
    </xf>
    <xf numFmtId="0" fontId="11" fillId="4" borderId="1" xfId="0" applyFont="1" applyFill="1" applyBorder="1" applyAlignment="1">
      <alignment horizontal="center" vertical="center" wrapText="1"/>
    </xf>
    <xf numFmtId="0" fontId="4" fillId="5" borderId="1" xfId="0" applyFont="1" applyFill="1" applyBorder="1" applyAlignment="1">
      <alignment horizontal="center" vertical="center"/>
    </xf>
    <xf numFmtId="0" fontId="6" fillId="6" borderId="1" xfId="0" applyFont="1" applyFill="1" applyBorder="1" applyAlignment="1">
      <alignment horizontal="center" vertical="center"/>
    </xf>
    <xf numFmtId="0" fontId="6" fillId="8" borderId="1" xfId="0" applyFont="1" applyFill="1" applyBorder="1" applyAlignment="1">
      <alignment horizontal="center" vertical="center"/>
    </xf>
    <xf numFmtId="0" fontId="0" fillId="0" borderId="0" xfId="0"/>
    <xf numFmtId="0" fontId="1" fillId="2" borderId="1" xfId="0" applyFont="1" applyFill="1" applyBorder="1" applyAlignment="1">
      <alignment horizontal="center" vertical="center" wrapText="1"/>
    </xf>
    <xf numFmtId="0" fontId="5" fillId="4" borderId="1" xfId="0" applyFont="1" applyFill="1" applyBorder="1" applyAlignment="1">
      <alignment horizontal="center" vertical="center" wrapText="1"/>
    </xf>
    <xf numFmtId="0" fontId="4" fillId="9" borderId="1" xfId="0" applyFont="1" applyFill="1" applyBorder="1" applyAlignment="1">
      <alignment horizontal="center" vertical="center" wrapText="1"/>
    </xf>
    <xf numFmtId="0" fontId="3" fillId="6" borderId="1" xfId="0" applyFont="1" applyFill="1" applyBorder="1" applyAlignment="1">
      <alignment horizontal="left" vertical="center" wrapText="1"/>
    </xf>
    <xf numFmtId="0" fontId="4" fillId="7" borderId="1" xfId="0" applyFont="1" applyFill="1" applyBorder="1" applyAlignment="1">
      <alignment horizontal="center" vertical="center" wrapText="1"/>
    </xf>
    <xf numFmtId="0" fontId="12" fillId="2" borderId="1" xfId="0" applyFont="1" applyFill="1" applyBorder="1" applyAlignment="1">
      <alignment horizontal="left" vertical="center" wrapText="1"/>
    </xf>
    <xf numFmtId="0" fontId="7" fillId="3" borderId="1" xfId="0" applyFont="1" applyFill="1" applyBorder="1" applyAlignment="1">
      <alignment horizontal="left" vertical="center" wrapText="1"/>
    </xf>
    <xf numFmtId="0" fontId="1" fillId="10" borderId="1" xfId="0" applyFont="1" applyFill="1" applyBorder="1" applyAlignment="1">
      <alignment horizontal="center" vertical="center" wrapText="1"/>
    </xf>
    <xf numFmtId="0" fontId="0" fillId="10" borderId="0" xfId="0" applyFill="1"/>
    <xf numFmtId="0" fontId="2" fillId="10" borderId="1" xfId="0" applyFont="1" applyFill="1" applyBorder="1" applyAlignment="1">
      <alignment horizontal="left" vertical="center" wrapText="1"/>
    </xf>
    <xf numFmtId="0" fontId="4" fillId="10" borderId="1" xfId="0" applyFont="1" applyFill="1" applyBorder="1" applyAlignment="1">
      <alignment horizontal="center" vertical="center" wrapText="1"/>
    </xf>
    <xf numFmtId="0" fontId="6" fillId="10" borderId="1" xfId="0" applyFont="1" applyFill="1" applyBorder="1" applyAlignment="1">
      <alignment horizontal="left" vertical="top" wrapText="1"/>
    </xf>
    <xf numFmtId="0" fontId="4" fillId="10" borderId="1" xfId="0" applyFont="1" applyFill="1" applyBorder="1" applyAlignment="1">
      <alignment horizontal="center" vertical="center"/>
    </xf>
    <xf numFmtId="0" fontId="5" fillId="10" borderId="1" xfId="0" applyFont="1" applyFill="1" applyBorder="1" applyAlignment="1">
      <alignment horizontal="center" vertical="center"/>
    </xf>
    <xf numFmtId="0" fontId="14" fillId="10" borderId="1" xfId="0" applyFont="1" applyFill="1" applyBorder="1" applyAlignment="1">
      <alignment horizontal="center" vertical="center" wrapText="1"/>
    </xf>
    <xf numFmtId="0" fontId="0" fillId="10" borderId="0" xfId="0" applyFont="1" applyFill="1"/>
    <xf numFmtId="0" fontId="13" fillId="10" borderId="1" xfId="0" applyFont="1" applyFill="1" applyBorder="1" applyAlignment="1">
      <alignment horizontal="left" vertical="center" wrapText="1"/>
    </xf>
    <xf numFmtId="0" fontId="15" fillId="10" borderId="1" xfId="0" applyFont="1" applyFill="1" applyBorder="1" applyAlignment="1">
      <alignment horizontal="left" vertical="center" wrapText="1"/>
    </xf>
    <xf numFmtId="0" fontId="16" fillId="10" borderId="1" xfId="0" applyFont="1" applyFill="1" applyBorder="1" applyAlignment="1">
      <alignment horizontal="center" vertical="center" wrapText="1"/>
    </xf>
    <xf numFmtId="0" fontId="16" fillId="10" borderId="1" xfId="0" applyFont="1" applyFill="1" applyBorder="1" applyAlignment="1">
      <alignment horizontal="center" vertical="center" wrapText="1"/>
    </xf>
    <xf numFmtId="0" fontId="17" fillId="10" borderId="1" xfId="0" applyFont="1" applyFill="1" applyBorder="1" applyAlignment="1">
      <alignment horizontal="left" vertical="top" wrapText="1"/>
    </xf>
    <xf numFmtId="0" fontId="17" fillId="10" borderId="1" xfId="0" applyFont="1" applyFill="1" applyBorder="1" applyAlignment="1">
      <alignment horizontal="center" vertical="center"/>
    </xf>
    <xf numFmtId="0" fontId="16" fillId="10" borderId="1" xfId="0" applyFont="1" applyFill="1" applyBorder="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3"/>
  <sheetViews>
    <sheetView workbookViewId="0">
      <selection activeCell="C9" sqref="C9"/>
    </sheetView>
  </sheetViews>
  <sheetFormatPr defaultRowHeight="14.4" x14ac:dyDescent="0.3"/>
  <cols>
    <col min="1" max="1" width="7" customWidth="1"/>
    <col min="2" max="2" width="21" customWidth="1"/>
    <col min="3" max="3" width="25" customWidth="1"/>
    <col min="4" max="6" width="10" customWidth="1"/>
    <col min="7" max="7" width="13" customWidth="1"/>
    <col min="8" max="8" width="9" customWidth="1"/>
    <col min="9" max="10" width="38" customWidth="1"/>
    <col min="11" max="11" width="42" customWidth="1"/>
  </cols>
  <sheetData>
    <row r="1" spans="1:11" ht="25.05" customHeight="1" x14ac:dyDescent="0.3">
      <c r="A1" s="28" t="s">
        <v>0</v>
      </c>
      <c r="B1" s="29"/>
      <c r="C1" s="29"/>
      <c r="D1" s="29"/>
      <c r="E1" s="29"/>
      <c r="F1" s="29"/>
      <c r="G1" s="29"/>
      <c r="H1" s="29"/>
      <c r="I1" s="29"/>
      <c r="J1" s="29"/>
      <c r="K1" s="29"/>
    </row>
    <row r="2" spans="1:11" ht="18" customHeight="1" x14ac:dyDescent="0.3">
      <c r="A2" s="30" t="s">
        <v>1</v>
      </c>
      <c r="B2" s="29"/>
      <c r="C2" s="29"/>
      <c r="D2" s="29"/>
      <c r="E2" s="29"/>
      <c r="F2" s="29"/>
      <c r="G2" s="29"/>
      <c r="H2" s="29"/>
      <c r="I2" s="29"/>
      <c r="J2" s="29"/>
      <c r="K2" s="29"/>
    </row>
    <row r="3" spans="1:11" ht="13.95" customHeight="1" x14ac:dyDescent="0.3">
      <c r="A3" s="31" t="s">
        <v>2</v>
      </c>
      <c r="B3" s="29"/>
      <c r="C3" s="29"/>
      <c r="D3" s="29"/>
      <c r="E3" s="29"/>
      <c r="F3" s="29"/>
      <c r="G3" s="29"/>
      <c r="H3" s="29"/>
      <c r="I3" s="29"/>
      <c r="J3" s="29"/>
      <c r="K3" s="29"/>
    </row>
    <row r="4" spans="1:11" ht="15" customHeight="1" x14ac:dyDescent="0.3">
      <c r="A4" s="32" t="s">
        <v>3</v>
      </c>
      <c r="B4" s="29"/>
      <c r="C4" s="29"/>
      <c r="D4" s="32" t="s">
        <v>4</v>
      </c>
      <c r="E4" s="29"/>
      <c r="F4" s="29"/>
      <c r="G4" s="29"/>
      <c r="H4" s="32" t="s">
        <v>5</v>
      </c>
      <c r="I4" s="29"/>
      <c r="J4" s="29"/>
      <c r="K4" s="29"/>
    </row>
    <row r="5" spans="1:11" ht="25.05" customHeight="1" x14ac:dyDescent="0.3">
      <c r="A5" s="33" t="s">
        <v>6</v>
      </c>
      <c r="B5" s="33" t="s">
        <v>7</v>
      </c>
      <c r="C5" s="33" t="s">
        <v>8</v>
      </c>
      <c r="D5" s="33" t="s">
        <v>9</v>
      </c>
      <c r="E5" s="33" t="s">
        <v>10</v>
      </c>
      <c r="F5" s="33" t="s">
        <v>11</v>
      </c>
      <c r="G5" s="33" t="s">
        <v>12</v>
      </c>
      <c r="H5" s="33" t="s">
        <v>13</v>
      </c>
      <c r="I5" s="33" t="s">
        <v>14</v>
      </c>
      <c r="J5" s="33" t="s">
        <v>15</v>
      </c>
      <c r="K5" s="33" t="s">
        <v>16</v>
      </c>
    </row>
    <row r="6" spans="1:11" ht="75" customHeight="1" x14ac:dyDescent="0.3">
      <c r="A6" s="34" t="s">
        <v>17</v>
      </c>
      <c r="B6" s="34" t="s">
        <v>18</v>
      </c>
      <c r="C6" s="34" t="s">
        <v>19</v>
      </c>
      <c r="D6" s="35" t="s">
        <v>20</v>
      </c>
      <c r="E6" s="35">
        <v>7</v>
      </c>
      <c r="F6" s="35">
        <v>8</v>
      </c>
      <c r="G6" s="36">
        <f t="shared" ref="G6:G13" si="0">E6*F6</f>
        <v>56</v>
      </c>
      <c r="H6" s="36" t="s">
        <v>21</v>
      </c>
      <c r="I6" s="34" t="s">
        <v>22</v>
      </c>
      <c r="J6" s="34" t="s">
        <v>23</v>
      </c>
      <c r="K6" s="34" t="s">
        <v>24</v>
      </c>
    </row>
    <row r="7" spans="1:11" ht="79.95" customHeight="1" x14ac:dyDescent="0.3">
      <c r="A7" s="34" t="s">
        <v>25</v>
      </c>
      <c r="B7" s="34" t="s">
        <v>26</v>
      </c>
      <c r="C7" s="34" t="s">
        <v>27</v>
      </c>
      <c r="D7" s="35" t="s">
        <v>20</v>
      </c>
      <c r="E7" s="35">
        <v>7</v>
      </c>
      <c r="F7" s="35">
        <v>8</v>
      </c>
      <c r="G7" s="36">
        <f t="shared" si="0"/>
        <v>56</v>
      </c>
      <c r="H7" s="36" t="s">
        <v>21</v>
      </c>
      <c r="I7" s="34" t="s">
        <v>28</v>
      </c>
      <c r="J7" s="34" t="s">
        <v>29</v>
      </c>
      <c r="K7" s="34" t="s">
        <v>30</v>
      </c>
    </row>
    <row r="8" spans="1:11" ht="70.05" customHeight="1" x14ac:dyDescent="0.3">
      <c r="A8" s="34" t="s">
        <v>31</v>
      </c>
      <c r="B8" s="34" t="s">
        <v>32</v>
      </c>
      <c r="C8" s="34" t="s">
        <v>33</v>
      </c>
      <c r="D8" s="35" t="s">
        <v>34</v>
      </c>
      <c r="E8" s="35">
        <v>7</v>
      </c>
      <c r="F8" s="35">
        <v>8</v>
      </c>
      <c r="G8" s="36">
        <f t="shared" si="0"/>
        <v>56</v>
      </c>
      <c r="H8" s="36" t="s">
        <v>21</v>
      </c>
      <c r="I8" s="34" t="s">
        <v>35</v>
      </c>
      <c r="J8" s="34" t="s">
        <v>36</v>
      </c>
      <c r="K8" s="34" t="s">
        <v>37</v>
      </c>
    </row>
    <row r="9" spans="1:11" ht="64.95" customHeight="1" x14ac:dyDescent="0.3">
      <c r="A9" s="34" t="s">
        <v>38</v>
      </c>
      <c r="B9" s="34" t="s">
        <v>26</v>
      </c>
      <c r="C9" s="34" t="s">
        <v>39</v>
      </c>
      <c r="D9" s="35" t="s">
        <v>20</v>
      </c>
      <c r="E9" s="35">
        <v>7</v>
      </c>
      <c r="F9" s="35">
        <v>8</v>
      </c>
      <c r="G9" s="36">
        <f t="shared" si="0"/>
        <v>56</v>
      </c>
      <c r="H9" s="36" t="s">
        <v>21</v>
      </c>
      <c r="I9" s="34" t="s">
        <v>40</v>
      </c>
      <c r="J9" s="34" t="s">
        <v>41</v>
      </c>
      <c r="K9" s="34" t="s">
        <v>42</v>
      </c>
    </row>
    <row r="10" spans="1:11" ht="60" customHeight="1" x14ac:dyDescent="0.3">
      <c r="A10" s="34" t="s">
        <v>43</v>
      </c>
      <c r="B10" s="34" t="s">
        <v>18</v>
      </c>
      <c r="C10" s="34" t="s">
        <v>44</v>
      </c>
      <c r="D10" s="35" t="s">
        <v>20</v>
      </c>
      <c r="E10" s="35">
        <v>7</v>
      </c>
      <c r="F10" s="35">
        <v>6</v>
      </c>
      <c r="G10" s="36">
        <f t="shared" si="0"/>
        <v>42</v>
      </c>
      <c r="H10" s="36" t="s">
        <v>45</v>
      </c>
      <c r="I10" s="34" t="s">
        <v>46</v>
      </c>
      <c r="J10" s="34" t="s">
        <v>47</v>
      </c>
      <c r="K10" s="34" t="s">
        <v>48</v>
      </c>
    </row>
    <row r="11" spans="1:11" ht="55.05" customHeight="1" x14ac:dyDescent="0.3">
      <c r="A11" s="34" t="s">
        <v>49</v>
      </c>
      <c r="B11" s="34" t="s">
        <v>32</v>
      </c>
      <c r="C11" s="34" t="s">
        <v>50</v>
      </c>
      <c r="D11" s="35" t="s">
        <v>20</v>
      </c>
      <c r="E11" s="35">
        <v>5</v>
      </c>
      <c r="F11" s="35">
        <v>8</v>
      </c>
      <c r="G11" s="36">
        <f t="shared" si="0"/>
        <v>40</v>
      </c>
      <c r="H11" s="36" t="s">
        <v>45</v>
      </c>
      <c r="I11" s="34" t="s">
        <v>51</v>
      </c>
      <c r="J11" s="34" t="s">
        <v>52</v>
      </c>
      <c r="K11" s="34" t="s">
        <v>53</v>
      </c>
    </row>
    <row r="12" spans="1:11" ht="58.05" customHeight="1" x14ac:dyDescent="0.3">
      <c r="A12" s="34" t="s">
        <v>54</v>
      </c>
      <c r="B12" s="34" t="s">
        <v>26</v>
      </c>
      <c r="C12" s="34" t="s">
        <v>55</v>
      </c>
      <c r="D12" s="35" t="s">
        <v>34</v>
      </c>
      <c r="E12" s="35">
        <v>7</v>
      </c>
      <c r="F12" s="35">
        <v>8</v>
      </c>
      <c r="G12" s="36">
        <f t="shared" si="0"/>
        <v>56</v>
      </c>
      <c r="H12" s="36" t="s">
        <v>21</v>
      </c>
      <c r="I12" s="34" t="s">
        <v>56</v>
      </c>
      <c r="J12" s="34" t="s">
        <v>57</v>
      </c>
      <c r="K12" s="34" t="s">
        <v>58</v>
      </c>
    </row>
    <row r="13" spans="1:11" ht="61.95" customHeight="1" x14ac:dyDescent="0.3">
      <c r="A13" s="34" t="s">
        <v>59</v>
      </c>
      <c r="B13" s="34" t="s">
        <v>18</v>
      </c>
      <c r="C13" s="34" t="s">
        <v>60</v>
      </c>
      <c r="D13" s="35" t="s">
        <v>20</v>
      </c>
      <c r="E13" s="35">
        <v>7</v>
      </c>
      <c r="F13" s="35">
        <v>6</v>
      </c>
      <c r="G13" s="36">
        <f t="shared" si="0"/>
        <v>42</v>
      </c>
      <c r="H13" s="36" t="s">
        <v>45</v>
      </c>
      <c r="I13" s="34" t="s">
        <v>61</v>
      </c>
      <c r="J13" s="34" t="s">
        <v>62</v>
      </c>
      <c r="K13" s="34" t="s">
        <v>63</v>
      </c>
    </row>
  </sheetData>
  <mergeCells count="6">
    <mergeCell ref="H4:K4"/>
    <mergeCell ref="A3:K3"/>
    <mergeCell ref="A2:K2"/>
    <mergeCell ref="A4:C4"/>
    <mergeCell ref="A1:K1"/>
    <mergeCell ref="D4:G4"/>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11"/>
  <sheetViews>
    <sheetView workbookViewId="0">
      <selection activeCell="C7" sqref="C7"/>
    </sheetView>
  </sheetViews>
  <sheetFormatPr defaultRowHeight="14.4" x14ac:dyDescent="0.3"/>
  <cols>
    <col min="1" max="1" width="7" customWidth="1"/>
    <col min="2" max="2" width="11" customWidth="1"/>
    <col min="3" max="3" width="28" customWidth="1"/>
    <col min="4" max="6" width="26" customWidth="1"/>
    <col min="7" max="9" width="10" customWidth="1"/>
    <col min="10" max="10" width="9" customWidth="1"/>
    <col min="11" max="11" width="30" customWidth="1"/>
    <col min="12" max="12" width="22" customWidth="1"/>
    <col min="13" max="13" width="11" customWidth="1"/>
  </cols>
  <sheetData>
    <row r="1" spans="1:13" ht="25.05" customHeight="1" x14ac:dyDescent="0.3">
      <c r="A1" s="21" t="s">
        <v>64</v>
      </c>
      <c r="B1" s="22"/>
      <c r="C1" s="22"/>
      <c r="D1" s="22"/>
      <c r="E1" s="22"/>
      <c r="F1" s="22"/>
      <c r="G1" s="22"/>
      <c r="H1" s="22"/>
      <c r="I1" s="22"/>
      <c r="J1" s="22"/>
      <c r="K1" s="22"/>
      <c r="L1" s="22"/>
      <c r="M1" s="22"/>
    </row>
    <row r="2" spans="1:13" ht="18" customHeight="1" x14ac:dyDescent="0.3">
      <c r="A2" s="23" t="s">
        <v>1</v>
      </c>
      <c r="B2" s="22"/>
      <c r="C2" s="22"/>
      <c r="D2" s="22"/>
      <c r="E2" s="22"/>
      <c r="F2" s="22"/>
      <c r="G2" s="22"/>
      <c r="H2" s="22"/>
      <c r="I2" s="22"/>
      <c r="J2" s="22"/>
      <c r="K2" s="22"/>
      <c r="L2" s="22"/>
      <c r="M2" s="22"/>
    </row>
    <row r="3" spans="1:13" ht="25.05" customHeight="1" x14ac:dyDescent="0.3">
      <c r="A3" s="24" t="s">
        <v>6</v>
      </c>
      <c r="B3" s="24" t="s">
        <v>65</v>
      </c>
      <c r="C3" s="24" t="s">
        <v>66</v>
      </c>
      <c r="D3" s="24" t="s">
        <v>67</v>
      </c>
      <c r="E3" s="24" t="s">
        <v>68</v>
      </c>
      <c r="F3" s="24" t="s">
        <v>69</v>
      </c>
      <c r="G3" s="24" t="s">
        <v>70</v>
      </c>
      <c r="H3" s="24" t="s">
        <v>71</v>
      </c>
      <c r="I3" s="24" t="s">
        <v>72</v>
      </c>
      <c r="J3" s="24" t="s">
        <v>13</v>
      </c>
      <c r="K3" s="24" t="s">
        <v>73</v>
      </c>
      <c r="L3" s="24" t="s">
        <v>74</v>
      </c>
      <c r="M3" s="24" t="s">
        <v>75</v>
      </c>
    </row>
    <row r="4" spans="1:13" ht="90" customHeight="1" x14ac:dyDescent="0.3">
      <c r="A4" s="25" t="s">
        <v>17</v>
      </c>
      <c r="B4" s="25" t="s">
        <v>76</v>
      </c>
      <c r="C4" s="25" t="s">
        <v>77</v>
      </c>
      <c r="D4" s="25" t="s">
        <v>78</v>
      </c>
      <c r="E4" s="25" t="s">
        <v>79</v>
      </c>
      <c r="F4" s="25" t="s">
        <v>80</v>
      </c>
      <c r="G4" s="26">
        <v>7</v>
      </c>
      <c r="H4" s="26">
        <v>8</v>
      </c>
      <c r="I4" s="26">
        <f t="shared" ref="I4:I11" si="0">G4*H4</f>
        <v>56</v>
      </c>
      <c r="J4" s="26" t="s">
        <v>21</v>
      </c>
      <c r="K4" s="25" t="s">
        <v>81</v>
      </c>
      <c r="L4" s="25" t="s">
        <v>18</v>
      </c>
      <c r="M4" s="25" t="s">
        <v>82</v>
      </c>
    </row>
    <row r="5" spans="1:13" ht="94.95" customHeight="1" x14ac:dyDescent="0.3">
      <c r="A5" s="25" t="s">
        <v>25</v>
      </c>
      <c r="B5" s="25" t="s">
        <v>76</v>
      </c>
      <c r="C5" s="25" t="s">
        <v>83</v>
      </c>
      <c r="D5" s="25" t="s">
        <v>84</v>
      </c>
      <c r="E5" s="25" t="s">
        <v>85</v>
      </c>
      <c r="F5" s="25" t="s">
        <v>86</v>
      </c>
      <c r="G5" s="26">
        <v>7</v>
      </c>
      <c r="H5" s="26">
        <v>8</v>
      </c>
      <c r="I5" s="26">
        <f t="shared" si="0"/>
        <v>56</v>
      </c>
      <c r="J5" s="26" t="s">
        <v>21</v>
      </c>
      <c r="K5" s="25" t="s">
        <v>87</v>
      </c>
      <c r="L5" s="25" t="s">
        <v>26</v>
      </c>
      <c r="M5" s="25" t="s">
        <v>82</v>
      </c>
    </row>
    <row r="6" spans="1:13" ht="85.05" customHeight="1" x14ac:dyDescent="0.3">
      <c r="A6" s="25" t="s">
        <v>31</v>
      </c>
      <c r="B6" s="25" t="s">
        <v>76</v>
      </c>
      <c r="C6" s="25" t="s">
        <v>88</v>
      </c>
      <c r="D6" s="25" t="s">
        <v>89</v>
      </c>
      <c r="E6" s="25" t="s">
        <v>90</v>
      </c>
      <c r="F6" s="25" t="s">
        <v>91</v>
      </c>
      <c r="G6" s="26">
        <v>7</v>
      </c>
      <c r="H6" s="26">
        <v>8</v>
      </c>
      <c r="I6" s="26">
        <f t="shared" si="0"/>
        <v>56</v>
      </c>
      <c r="J6" s="26" t="s">
        <v>21</v>
      </c>
      <c r="K6" s="25" t="s">
        <v>92</v>
      </c>
      <c r="L6" s="25" t="s">
        <v>32</v>
      </c>
      <c r="M6" s="25" t="s">
        <v>82</v>
      </c>
    </row>
    <row r="7" spans="1:13" ht="79.95" customHeight="1" x14ac:dyDescent="0.3">
      <c r="A7" s="25" t="s">
        <v>38</v>
      </c>
      <c r="B7" s="25" t="s">
        <v>76</v>
      </c>
      <c r="C7" s="25" t="s">
        <v>93</v>
      </c>
      <c r="D7" s="25" t="s">
        <v>94</v>
      </c>
      <c r="E7" s="25" t="s">
        <v>95</v>
      </c>
      <c r="F7" s="25" t="s">
        <v>96</v>
      </c>
      <c r="G7" s="26">
        <v>7</v>
      </c>
      <c r="H7" s="26">
        <v>8</v>
      </c>
      <c r="I7" s="26">
        <f t="shared" si="0"/>
        <v>56</v>
      </c>
      <c r="J7" s="26" t="s">
        <v>21</v>
      </c>
      <c r="K7" s="25" t="s">
        <v>97</v>
      </c>
      <c r="L7" s="25" t="s">
        <v>26</v>
      </c>
      <c r="M7" s="25" t="s">
        <v>82</v>
      </c>
    </row>
    <row r="8" spans="1:13" ht="88.05" customHeight="1" x14ac:dyDescent="0.3">
      <c r="A8" s="25" t="s">
        <v>43</v>
      </c>
      <c r="B8" s="25" t="s">
        <v>76</v>
      </c>
      <c r="C8" s="25" t="s">
        <v>98</v>
      </c>
      <c r="D8" s="25" t="s">
        <v>99</v>
      </c>
      <c r="E8" s="25" t="s">
        <v>100</v>
      </c>
      <c r="F8" s="25" t="s">
        <v>101</v>
      </c>
      <c r="G8" s="27">
        <v>7</v>
      </c>
      <c r="H8" s="27">
        <v>6</v>
      </c>
      <c r="I8" s="27">
        <f t="shared" si="0"/>
        <v>42</v>
      </c>
      <c r="J8" s="26" t="s">
        <v>21</v>
      </c>
      <c r="K8" s="25" t="s">
        <v>102</v>
      </c>
      <c r="L8" s="25" t="s">
        <v>18</v>
      </c>
      <c r="M8" s="25" t="s">
        <v>82</v>
      </c>
    </row>
    <row r="9" spans="1:13" ht="82.05" customHeight="1" x14ac:dyDescent="0.3">
      <c r="A9" s="25" t="s">
        <v>49</v>
      </c>
      <c r="B9" s="25" t="s">
        <v>76</v>
      </c>
      <c r="C9" s="25" t="s">
        <v>103</v>
      </c>
      <c r="D9" s="25" t="s">
        <v>104</v>
      </c>
      <c r="E9" s="25" t="s">
        <v>105</v>
      </c>
      <c r="F9" s="25" t="s">
        <v>106</v>
      </c>
      <c r="G9" s="27">
        <v>5</v>
      </c>
      <c r="H9" s="27">
        <v>8</v>
      </c>
      <c r="I9" s="27">
        <f t="shared" si="0"/>
        <v>40</v>
      </c>
      <c r="J9" s="27" t="s">
        <v>45</v>
      </c>
      <c r="K9" s="25" t="s">
        <v>107</v>
      </c>
      <c r="L9" s="25" t="s">
        <v>32</v>
      </c>
      <c r="M9" s="25" t="s">
        <v>82</v>
      </c>
    </row>
    <row r="10" spans="1:13" ht="78" customHeight="1" x14ac:dyDescent="0.3">
      <c r="A10" s="25" t="s">
        <v>54</v>
      </c>
      <c r="B10" s="25" t="s">
        <v>76</v>
      </c>
      <c r="C10" s="25" t="s">
        <v>108</v>
      </c>
      <c r="D10" s="25" t="s">
        <v>109</v>
      </c>
      <c r="E10" s="25" t="s">
        <v>110</v>
      </c>
      <c r="F10" s="25" t="s">
        <v>111</v>
      </c>
      <c r="G10" s="26">
        <v>7</v>
      </c>
      <c r="H10" s="26">
        <v>8</v>
      </c>
      <c r="I10" s="26">
        <f t="shared" si="0"/>
        <v>56</v>
      </c>
      <c r="J10" s="26" t="s">
        <v>21</v>
      </c>
      <c r="K10" s="25" t="s">
        <v>112</v>
      </c>
      <c r="L10" s="25" t="s">
        <v>26</v>
      </c>
      <c r="M10" s="25" t="s">
        <v>82</v>
      </c>
    </row>
    <row r="11" spans="1:13" ht="72" customHeight="1" x14ac:dyDescent="0.3">
      <c r="A11" s="25" t="s">
        <v>59</v>
      </c>
      <c r="B11" s="25" t="s">
        <v>76</v>
      </c>
      <c r="C11" s="25" t="s">
        <v>113</v>
      </c>
      <c r="D11" s="25" t="s">
        <v>114</v>
      </c>
      <c r="E11" s="25" t="s">
        <v>115</v>
      </c>
      <c r="F11" s="25" t="s">
        <v>116</v>
      </c>
      <c r="G11" s="27">
        <v>7</v>
      </c>
      <c r="H11" s="27">
        <v>6</v>
      </c>
      <c r="I11" s="27">
        <f t="shared" si="0"/>
        <v>42</v>
      </c>
      <c r="J11" s="26" t="s">
        <v>21</v>
      </c>
      <c r="K11" s="25" t="s">
        <v>117</v>
      </c>
      <c r="L11" s="25" t="s">
        <v>18</v>
      </c>
      <c r="M11" s="25" t="s">
        <v>82</v>
      </c>
    </row>
  </sheetData>
  <mergeCells count="2">
    <mergeCell ref="A2:M2"/>
    <mergeCell ref="A1:M1"/>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24"/>
  <sheetViews>
    <sheetView tabSelected="1" workbookViewId="0">
      <selection sqref="A1:J1"/>
    </sheetView>
  </sheetViews>
  <sheetFormatPr defaultRowHeight="14.4" x14ac:dyDescent="0.3"/>
  <cols>
    <col min="1" max="1" width="7" customWidth="1"/>
    <col min="2" max="2" width="30" customWidth="1"/>
    <col min="3" max="4" width="12" customWidth="1"/>
    <col min="5" max="5" width="10" customWidth="1"/>
    <col min="6" max="6" width="9" customWidth="1"/>
    <col min="7" max="7" width="12" customWidth="1"/>
  </cols>
  <sheetData>
    <row r="1" spans="1:10" ht="25.05" customHeight="1" x14ac:dyDescent="0.3">
      <c r="A1" s="14" t="s">
        <v>118</v>
      </c>
      <c r="B1" s="13"/>
      <c r="C1" s="13"/>
      <c r="D1" s="13"/>
      <c r="E1" s="13"/>
      <c r="F1" s="13"/>
      <c r="G1" s="13"/>
      <c r="H1" s="13"/>
      <c r="I1" s="13"/>
      <c r="J1" s="13"/>
    </row>
    <row r="2" spans="1:10" ht="16.05" customHeight="1" x14ac:dyDescent="0.3">
      <c r="A2" s="20" t="s">
        <v>119</v>
      </c>
      <c r="B2" s="13"/>
      <c r="C2" s="13"/>
      <c r="D2" s="13"/>
      <c r="E2" s="13"/>
      <c r="F2" s="13"/>
      <c r="G2" s="13"/>
      <c r="H2" s="13"/>
      <c r="I2" s="13"/>
      <c r="J2" s="13"/>
    </row>
    <row r="3" spans="1:10" ht="13.95" customHeight="1" x14ac:dyDescent="0.3">
      <c r="A3" s="17" t="s">
        <v>120</v>
      </c>
      <c r="B3" s="13"/>
      <c r="C3" s="13"/>
      <c r="D3" s="13"/>
      <c r="E3" s="13"/>
      <c r="F3" s="13"/>
      <c r="G3" s="13"/>
      <c r="H3" s="13"/>
      <c r="I3" s="13"/>
      <c r="J3" s="13"/>
    </row>
    <row r="5" spans="1:10" ht="25.05" customHeight="1" x14ac:dyDescent="0.3">
      <c r="A5" s="3" t="s">
        <v>121</v>
      </c>
      <c r="B5" s="4" t="s">
        <v>122</v>
      </c>
      <c r="C5" s="4" t="s">
        <v>123</v>
      </c>
      <c r="D5" s="4" t="s">
        <v>124</v>
      </c>
      <c r="E5" s="4" t="s">
        <v>125</v>
      </c>
      <c r="F5" s="4" t="s">
        <v>126</v>
      </c>
    </row>
    <row r="6" spans="1:10" ht="60" customHeight="1" x14ac:dyDescent="0.3">
      <c r="A6" s="4" t="s">
        <v>127</v>
      </c>
      <c r="B6" s="5" t="s">
        <v>128</v>
      </c>
      <c r="C6" s="6" t="s">
        <v>129</v>
      </c>
      <c r="D6" s="6" t="s">
        <v>130</v>
      </c>
      <c r="E6" s="7" t="s">
        <v>131</v>
      </c>
      <c r="F6" s="8" t="s">
        <v>132</v>
      </c>
    </row>
    <row r="7" spans="1:10" ht="60" customHeight="1" x14ac:dyDescent="0.3">
      <c r="A7" s="4" t="s">
        <v>133</v>
      </c>
      <c r="B7" s="5" t="s">
        <v>134</v>
      </c>
      <c r="C7" s="6" t="s">
        <v>135</v>
      </c>
      <c r="D7" s="9" t="s">
        <v>136</v>
      </c>
      <c r="E7" s="7" t="s">
        <v>137</v>
      </c>
      <c r="F7" s="8" t="s">
        <v>138</v>
      </c>
    </row>
    <row r="8" spans="1:10" ht="60" customHeight="1" x14ac:dyDescent="0.3">
      <c r="A8" s="4" t="s">
        <v>139</v>
      </c>
      <c r="B8" s="5" t="s">
        <v>140</v>
      </c>
      <c r="C8" s="5" t="s">
        <v>141</v>
      </c>
      <c r="D8" s="6" t="s">
        <v>142</v>
      </c>
      <c r="E8" s="9" t="s">
        <v>143</v>
      </c>
      <c r="F8" s="6" t="s">
        <v>144</v>
      </c>
    </row>
    <row r="9" spans="1:10" ht="60" customHeight="1" x14ac:dyDescent="0.3">
      <c r="A9" s="4" t="s">
        <v>145</v>
      </c>
      <c r="B9" s="5" t="s">
        <v>146</v>
      </c>
      <c r="C9" s="5" t="s">
        <v>147</v>
      </c>
      <c r="D9" s="5" t="s">
        <v>148</v>
      </c>
      <c r="E9" s="6" t="s">
        <v>149</v>
      </c>
      <c r="F9" s="6" t="s">
        <v>150</v>
      </c>
    </row>
    <row r="10" spans="1:10" ht="60" customHeight="1" x14ac:dyDescent="0.3">
      <c r="A10" s="4" t="s">
        <v>151</v>
      </c>
      <c r="B10" s="5" t="s">
        <v>152</v>
      </c>
      <c r="C10" s="5" t="s">
        <v>140</v>
      </c>
      <c r="D10" s="5" t="s">
        <v>153</v>
      </c>
      <c r="E10" s="5" t="s">
        <v>154</v>
      </c>
      <c r="F10" s="5" t="s">
        <v>141</v>
      </c>
    </row>
    <row r="11" spans="1:10" ht="60" customHeight="1" x14ac:dyDescent="0.3">
      <c r="A11" s="4" t="s">
        <v>155</v>
      </c>
      <c r="B11" s="5" t="s">
        <v>156</v>
      </c>
      <c r="C11" s="5" t="s">
        <v>157</v>
      </c>
      <c r="D11" s="5" t="s">
        <v>158</v>
      </c>
      <c r="E11" s="5" t="s">
        <v>159</v>
      </c>
      <c r="F11" s="5" t="s">
        <v>128</v>
      </c>
    </row>
    <row r="13" spans="1:10" ht="16.05" customHeight="1" x14ac:dyDescent="0.3">
      <c r="A13" s="18" t="s">
        <v>160</v>
      </c>
      <c r="B13" s="13"/>
      <c r="C13" s="15" t="s">
        <v>161</v>
      </c>
      <c r="D13" s="13"/>
      <c r="E13" s="13"/>
      <c r="F13" s="16" t="s">
        <v>162</v>
      </c>
      <c r="G13" s="13"/>
      <c r="H13" s="13"/>
    </row>
    <row r="15" spans="1:10" ht="16.05" customHeight="1" x14ac:dyDescent="0.3">
      <c r="A15" s="19" t="s">
        <v>163</v>
      </c>
      <c r="B15" s="13"/>
      <c r="C15" s="13"/>
      <c r="D15" s="13"/>
      <c r="E15" s="13"/>
      <c r="F15" s="13"/>
      <c r="G15" s="13"/>
    </row>
    <row r="16" spans="1:10" ht="18" customHeight="1" x14ac:dyDescent="0.3">
      <c r="A16" s="10" t="s">
        <v>6</v>
      </c>
      <c r="B16" s="10" t="s">
        <v>8</v>
      </c>
      <c r="C16" s="10" t="s">
        <v>10</v>
      </c>
      <c r="D16" s="10" t="s">
        <v>11</v>
      </c>
      <c r="E16" s="10" t="s">
        <v>164</v>
      </c>
      <c r="F16" s="10" t="s">
        <v>13</v>
      </c>
      <c r="G16" s="10" t="s">
        <v>165</v>
      </c>
    </row>
    <row r="17" spans="1:7" ht="16.05" customHeight="1" x14ac:dyDescent="0.3">
      <c r="A17" s="11" t="s">
        <v>17</v>
      </c>
      <c r="B17" s="11" t="s">
        <v>19</v>
      </c>
      <c r="C17" s="11">
        <v>7</v>
      </c>
      <c r="D17" s="11">
        <v>8</v>
      </c>
      <c r="E17" s="11">
        <v>56</v>
      </c>
      <c r="F17" s="11" t="s">
        <v>21</v>
      </c>
      <c r="G17" s="1" t="s">
        <v>166</v>
      </c>
    </row>
    <row r="18" spans="1:7" ht="16.05" customHeight="1" x14ac:dyDescent="0.3">
      <c r="A18" s="12" t="s">
        <v>25</v>
      </c>
      <c r="B18" s="12" t="s">
        <v>167</v>
      </c>
      <c r="C18" s="12">
        <v>7</v>
      </c>
      <c r="D18" s="12">
        <v>8</v>
      </c>
      <c r="E18" s="12">
        <v>56</v>
      </c>
      <c r="F18" s="12" t="s">
        <v>21</v>
      </c>
      <c r="G18" s="1" t="s">
        <v>166</v>
      </c>
    </row>
    <row r="19" spans="1:7" ht="16.05" customHeight="1" x14ac:dyDescent="0.3">
      <c r="A19" s="11" t="s">
        <v>31</v>
      </c>
      <c r="B19" s="11" t="s">
        <v>33</v>
      </c>
      <c r="C19" s="11">
        <v>7</v>
      </c>
      <c r="D19" s="11">
        <v>8</v>
      </c>
      <c r="E19" s="11">
        <v>56</v>
      </c>
      <c r="F19" s="11" t="s">
        <v>21</v>
      </c>
      <c r="G19" s="1" t="s">
        <v>166</v>
      </c>
    </row>
    <row r="20" spans="1:7" ht="16.05" customHeight="1" x14ac:dyDescent="0.3">
      <c r="A20" s="12" t="s">
        <v>38</v>
      </c>
      <c r="B20" s="12" t="s">
        <v>39</v>
      </c>
      <c r="C20" s="12">
        <v>7</v>
      </c>
      <c r="D20" s="12">
        <v>8</v>
      </c>
      <c r="E20" s="12">
        <v>56</v>
      </c>
      <c r="F20" s="12" t="s">
        <v>21</v>
      </c>
      <c r="G20" s="1" t="s">
        <v>166</v>
      </c>
    </row>
    <row r="21" spans="1:7" ht="16.05" customHeight="1" x14ac:dyDescent="0.3">
      <c r="A21" s="11" t="s">
        <v>43</v>
      </c>
      <c r="B21" s="11" t="s">
        <v>168</v>
      </c>
      <c r="C21" s="11">
        <v>7</v>
      </c>
      <c r="D21" s="11">
        <v>6</v>
      </c>
      <c r="E21" s="11">
        <v>42</v>
      </c>
      <c r="F21" s="11" t="s">
        <v>21</v>
      </c>
      <c r="G21" s="2" t="s">
        <v>169</v>
      </c>
    </row>
    <row r="22" spans="1:7" ht="16.05" customHeight="1" x14ac:dyDescent="0.3">
      <c r="A22" s="12" t="s">
        <v>49</v>
      </c>
      <c r="B22" s="12" t="s">
        <v>170</v>
      </c>
      <c r="C22" s="12">
        <v>5</v>
      </c>
      <c r="D22" s="12">
        <v>8</v>
      </c>
      <c r="E22" s="12">
        <v>40</v>
      </c>
      <c r="F22" s="12" t="s">
        <v>45</v>
      </c>
      <c r="G22" s="2" t="s">
        <v>169</v>
      </c>
    </row>
    <row r="23" spans="1:7" ht="16.05" customHeight="1" x14ac:dyDescent="0.3">
      <c r="A23" s="11" t="s">
        <v>54</v>
      </c>
      <c r="B23" s="11" t="s">
        <v>171</v>
      </c>
      <c r="C23" s="11">
        <v>7</v>
      </c>
      <c r="D23" s="11">
        <v>8</v>
      </c>
      <c r="E23" s="11">
        <v>56</v>
      </c>
      <c r="F23" s="11" t="s">
        <v>21</v>
      </c>
      <c r="G23" s="1" t="s">
        <v>166</v>
      </c>
    </row>
    <row r="24" spans="1:7" ht="16.05" customHeight="1" x14ac:dyDescent="0.3">
      <c r="A24" s="12" t="s">
        <v>59</v>
      </c>
      <c r="B24" s="12" t="s">
        <v>60</v>
      </c>
      <c r="C24" s="12">
        <v>7</v>
      </c>
      <c r="D24" s="12">
        <v>6</v>
      </c>
      <c r="E24" s="12">
        <v>42</v>
      </c>
      <c r="F24" s="12" t="s">
        <v>21</v>
      </c>
      <c r="G24" s="2" t="s">
        <v>169</v>
      </c>
    </row>
  </sheetData>
  <mergeCells count="7">
    <mergeCell ref="A15:G15"/>
    <mergeCell ref="A2:J2"/>
    <mergeCell ref="A1:J1"/>
    <mergeCell ref="C13:E13"/>
    <mergeCell ref="F13:H13"/>
    <mergeCell ref="A3:J3"/>
    <mergeCell ref="A13:B1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RiskCalculationSheet</vt:lpstr>
      <vt:lpstr>RiskRegister</vt:lpstr>
      <vt:lpstr>HeatMap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Sandeep Kaur</cp:lastModifiedBy>
  <dcterms:created xsi:type="dcterms:W3CDTF">2026-06-10T05:29:07Z</dcterms:created>
  <dcterms:modified xsi:type="dcterms:W3CDTF">2026-06-10T05:42:26Z</dcterms:modified>
</cp:coreProperties>
</file>